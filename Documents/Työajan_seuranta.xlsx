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y/R13-kevat26-Sovellusprojekti/Documents/"/>
    </mc:Choice>
  </mc:AlternateContent>
  <xr:revisionPtr revIDLastSave="0" documentId="13_ncr:1_{0B377356-2216-B643-8C75-20938C62C711}" xr6:coauthVersionLast="47" xr6:coauthVersionMax="47" xr10:uidLastSave="{00000000-0000-0000-0000-000000000000}"/>
  <bookViews>
    <workbookView xWindow="0" yWindow="500" windowWidth="51200" windowHeight="28300" activeTab="2" xr2:uid="{B7036960-D674-4B76-B564-D076AACD5E6B}"/>
  </bookViews>
  <sheets>
    <sheet name="Sara Vehviläinen" sheetId="1" r:id="rId1"/>
    <sheet name="Mikhail Konstantinov" sheetId="3" r:id="rId2"/>
    <sheet name="Andreas Kotala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5" i="1" l="1"/>
  <c r="D4" i="3"/>
  <c r="E3" i="4"/>
</calcChain>
</file>

<file path=xl/sharedStrings.xml><?xml version="1.0" encoding="utf-8"?>
<sst xmlns="http://schemas.openxmlformats.org/spreadsheetml/2006/main" count="147" uniqueCount="110">
  <si>
    <t>Ryhmä:</t>
  </si>
  <si>
    <t>Pvm</t>
  </si>
  <si>
    <t>Tehtävä</t>
  </si>
  <si>
    <t>Sara Vehviläinen</t>
  </si>
  <si>
    <t>Github projektin scrum luonti</t>
  </si>
  <si>
    <t>Github-projekti/scrum muokkaus</t>
  </si>
  <si>
    <t>Liikeidean/projektin suunnittelu/ideointi</t>
  </si>
  <si>
    <t>11/12/026</t>
  </si>
  <si>
    <t>Ryhmä palaveri</t>
  </si>
  <si>
    <t>LTS suunnitelman teko</t>
  </si>
  <si>
    <t>13/1/2026</t>
  </si>
  <si>
    <t>Opettajan palaveri</t>
  </si>
  <si>
    <t>Ryhmä palaveri (daily scrum)</t>
  </si>
  <si>
    <t>18/1/2026</t>
  </si>
  <si>
    <t>LTS-suunnitelman teko</t>
  </si>
  <si>
    <t>19/12/2026</t>
  </si>
  <si>
    <t>20/1/2026</t>
  </si>
  <si>
    <t>22/1/2026</t>
  </si>
  <si>
    <t>Tiedotteet toiminnallisuus koodia (alustava)</t>
  </si>
  <si>
    <t>23/1/2026</t>
  </si>
  <si>
    <t>25/1/2026</t>
  </si>
  <si>
    <t>27/1/2026</t>
  </si>
  <si>
    <t>Tiedotteet toiminnallisuus koodia (isännöinti/taloyhtiö)</t>
  </si>
  <si>
    <t>28/1/2026</t>
  </si>
  <si>
    <t>Tiedotteet toiminnallisuus koodia (asukas/huolto)</t>
  </si>
  <si>
    <t>28/1/2025</t>
  </si>
  <si>
    <t>Sovelluksen testaamista</t>
  </si>
  <si>
    <t xml:space="preserve">Tiedotteet toiminnallisuus bugien korjaus </t>
  </si>
  <si>
    <t>29/1/2025</t>
  </si>
  <si>
    <t>Tiedotteet-toiminnallisuus bugien korjaus</t>
  </si>
  <si>
    <t>29/1/2026</t>
  </si>
  <si>
    <t>Koodista bugien korjaus/koodin hienosäätöä</t>
  </si>
  <si>
    <t>Perustettavan yrityksen laskelman teko</t>
  </si>
  <si>
    <t>Sovelluksen posterin teko</t>
  </si>
  <si>
    <t>Perustettavan yrityksen laskelman muokkaus</t>
  </si>
  <si>
    <t>Videon käsikirjoituksen teko (UI)</t>
  </si>
  <si>
    <t>12/2/226</t>
  </si>
  <si>
    <t>Projekti vdeon käsikirjoituksen teko (arkkitehtuuri)</t>
  </si>
  <si>
    <t>13/2/2026</t>
  </si>
  <si>
    <t>Kriittisen pisteen laskelma</t>
  </si>
  <si>
    <t>14/2/2026</t>
  </si>
  <si>
    <t>Projekti videon käsikirjoitus muokkaus (arkkitehtuuri)</t>
  </si>
  <si>
    <t>15/2/2026</t>
  </si>
  <si>
    <t>Projekti videon kuvaus ja muokkaus (arkkitehtuuri)</t>
  </si>
  <si>
    <t>17/2/2026</t>
  </si>
  <si>
    <t>Advance videon kuvaus ja muokkaus</t>
  </si>
  <si>
    <t>TUNNIT YHTEENSÄ:</t>
  </si>
  <si>
    <t>Ryhmä:13</t>
  </si>
  <si>
    <t>Mikhail Konstantinov</t>
  </si>
  <si>
    <t xml:space="preserve">                      Kesto</t>
  </si>
  <si>
    <t>Liikeiden tutkiminen ,suunittelu ja ideointi.</t>
  </si>
  <si>
    <t>Tunnit yhtensä:</t>
  </si>
  <si>
    <t>Projektin rakenteen ja teknologioiden vertailu (React Native, Firebase)</t>
  </si>
  <si>
    <t>Palaveri</t>
  </si>
  <si>
    <t>Tänään määritin Firebase Authin ja Firestore-tietokannan sekä loin käyttäjäroolit ja käyttöoikeussäännöt. Sovellus on nyt yhdistetty tietokantaan ja perustoiminnot toimivat. Palaveri</t>
  </si>
  <si>
    <t>Tehtävä: Firestore Security Rules -määrittely ja testaus</t>
  </si>
  <si>
    <t>kokous, sprint planning, työnjaon sopiminen</t>
  </si>
  <si>
    <t>Sovelliksen testaus</t>
  </si>
  <si>
    <t xml:space="preserve">Pisteyslomakkeen täyttö </t>
  </si>
  <si>
    <t xml:space="preserve">Tehdyt muutokset:
- Asukkaat voivat nyt luoda, muokata ja tarkastella omia vikailmoituksiaan kuvien kanssa.
- Vikailmoitusten päivitykset (teksti, kuvat, tila) toimivat luotettavasti.
- Vikailmoitusten kyselyt yhtenäistettiin niin, että kaikki ei-asukasroolit
  (housing_company, service_company, maintenance) näkevät kaikki oman taloyhtiön vikailmoitukset.
</t>
  </si>
  <si>
    <t>Täysi vikailmoituksen tilatyönkulku
Kaikki vikailmoitusten tilat ovat nyt käytössä ja johdonmukaisesti hyödynnetty koko sovelluksessa.2. Roolipohjainen tilatoimintonäkymä (huolto / palveluyritys)
Lisätty erillinen tilatoimintokomponentti (StatusActionBar).
Näkyy vain valtuutetuille rooleille (huolto, palveluyritys, admin).</t>
  </si>
  <si>
    <t>Vikailmoitusten työnkulun hallinta on rajattu vain huoltoyritykselle (Service Company).
Taloyhtiö ja isännöinti ovat nyt täysin read-only-roolissa eivätkä voi muuttaa tiloja tai sulkea ilmoituksia.
Vikailmoitusten tietomallia on laajennettu kahdella uudella valinnaisella boolean-kentällä:
Huolto saa tulla yleisavaimella
Asunnossa on lemmikkejä</t>
  </si>
  <si>
    <t xml:space="preserve">Dokumentaation päivitys
</t>
  </si>
  <si>
    <t>Projektin testaus ja virheiden tarkistus.</t>
  </si>
  <si>
    <t>Sovelluksen rakenteen läpikäynti(ui/näkymät)</t>
  </si>
  <si>
    <t>Bugien etsiminen</t>
  </si>
  <si>
    <t>Projektin testaus ja käyttöpolkujen tarkistus</t>
  </si>
  <si>
    <t>Wireframen tekeminen</t>
  </si>
  <si>
    <t xml:space="preserve">Wireframen viimeistely </t>
  </si>
  <si>
    <t>Edistyneiden ominaisuuksien kehittäminen (ydinlogiikka ja rakenne)</t>
  </si>
  <si>
    <t>Projektin testaus ja virheiden korjaus</t>
  </si>
  <si>
    <t>Projektin esityksen valmistelu ja demovideon nauhoittaminen</t>
  </si>
  <si>
    <t>Edistynyt kehitys ja ominaisuuksien hienosäätö</t>
  </si>
  <si>
    <t>Andreas Kotala</t>
  </si>
  <si>
    <t>Tunnit yhteensä:</t>
  </si>
  <si>
    <t>Firebasen projektin luonti</t>
  </si>
  <si>
    <t>Projektin suunnittelu ja ideointi</t>
  </si>
  <si>
    <t>Wireframe luonnos</t>
  </si>
  <si>
    <t>Ryhmän palaveri</t>
  </si>
  <si>
    <t>Initial project structure with Expo, Firebase and MVVM architecture</t>
  </si>
  <si>
    <t>Ryhmän palaveri (daily scrum)</t>
  </si>
  <si>
    <t>Asiakastarinoiden luonti + LTS-päivitys</t>
  </si>
  <si>
    <t>Admin -&gt; Taloyhtiö -&gt; kutsukoodi -&gt;
 Taloyhtiön näkymä</t>
  </si>
  <si>
    <t>Add housing company and resident
 invite flow, resident registration &amp; dashboard; cascade-delete related data</t>
  </si>
  <si>
    <t>Multi-role invite flow + settings
(theme, i18n) and app logic
improvements</t>
  </si>
  <si>
    <t>LTS:n päivitys</t>
  </si>
  <si>
    <t>Sovelluksen testausta</t>
  </si>
  <si>
    <t>LTS-päivitys</t>
  </si>
  <si>
    <t>PR:n läpikäynti ja sovelluksen manuaalinen testaus</t>
  </si>
  <si>
    <t>Fixed localization, silent/
pull-to-refresh, CreateFaultReport 
edit flow, header/navigation bugs, 
dark-theme UI issues, and updated 
the Cloud Function to allow residents 
to cancel their reports.</t>
  </si>
  <si>
    <t>Fixed navigation/tabs; added 
reporter, building &amp; apartment to 
fault reports; updated Firestore rules.</t>
  </si>
  <si>
    <t>Add issue reporting user stories</t>
  </si>
  <si>
    <t>background work</t>
  </si>
  <si>
    <t>Log work progress in maintenance 
requests</t>
  </si>
  <si>
    <t>Funktiot jaettu moduuleihin + statiistikat + manuaalinen testi + 
bugi korjaukset</t>
  </si>
  <si>
    <t>Posterin / LTS:n läpikäynti</t>
  </si>
  <si>
    <t>pisteytys- ja todennuslomakeen 
päivitys</t>
  </si>
  <si>
    <t>Markkinointibudjetti ja Investointi 
-päivitys</t>
  </si>
  <si>
    <t>LTS-päivitys + videon alkuvalmistelut</t>
  </si>
  <si>
    <t>Videon tekoa (ensimmäinen 1min)</t>
  </si>
  <si>
    <t>Video - ominaisuudet [KESKEN]</t>
  </si>
  <si>
    <t>Video - välimuisti/sensorit/taustatyö/
paikallinen tallennus/autentikointi 
[KESKEN]</t>
  </si>
  <si>
    <t>Video - kuvagalleria/https/vapaa vaativa ominaisuus + editointi
[VALMIS]</t>
  </si>
  <si>
    <t>Kriittinen piste &amp; perustettavan 
yritysken laskelmat</t>
  </si>
  <si>
    <t>Advanced Mobile -videon käsis [KESKEN]</t>
  </si>
  <si>
    <t>Projekti videon loppueditointi, julkaisu youtubeen, pisteytyslomakkeen täyttö</t>
  </si>
  <si>
    <t>Advanced Mobile -videon käsiksen 
viimeistely</t>
  </si>
  <si>
    <t>Advanced Mobile -videon 
kuvaus &amp; editointi</t>
  </si>
  <si>
    <t>Advanced Mobile -videon 
kuvaus + loppueditointi + julkaisu</t>
  </si>
  <si>
    <t>Tiedotstojen / linkkien tarkistus ja niputus palautuskuntoon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</si>
</sst>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yyyy\-mm\-dd;@"/>
    <numFmt numFmtId="166" formatCode="h:mm;@"/>
  </numFmts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242424"/>
      <name val="Aptos Narrow"/>
    </font>
    <font>
      <sz val="11"/>
      <color rgb="FF000000"/>
      <name val="Calibri"/>
      <family val="2"/>
      <scheme val="minor"/>
    </font>
    <font>
      <b/>
      <sz val="11"/>
      <color rgb="FF242424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wrapText="1"/>
    </xf>
    <xf numFmtId="0" fontId="1" fillId="0" borderId="0" xfId="0" applyFont="1"/>
    <xf numFmtId="20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2" fontId="0" fillId="0" borderId="0" xfId="0" applyNumberFormat="1"/>
    <xf numFmtId="46" fontId="0" fillId="0" borderId="0" xfId="0" applyNumberFormat="1"/>
    <xf numFmtId="0" fontId="6" fillId="0" borderId="0" xfId="0" applyFont="1"/>
    <xf numFmtId="20" fontId="2" fillId="0" borderId="0" xfId="0" applyNumberFormat="1" applyFon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4D073-EB2D-44A2-86BF-660E3721AF80}">
  <dimension ref="A1:H45"/>
  <sheetViews>
    <sheetView workbookViewId="0">
      <selection activeCell="C45" sqref="C45"/>
    </sheetView>
  </sheetViews>
  <sheetFormatPr baseColWidth="10" defaultColWidth="8.83203125" defaultRowHeight="15" x14ac:dyDescent="0.2"/>
  <cols>
    <col min="1" max="1" width="9.83203125" customWidth="1"/>
    <col min="2" max="2" width="52.83203125" customWidth="1"/>
    <col min="3" max="3" width="18.5" customWidth="1"/>
    <col min="4" max="6" width="13.1640625" customWidth="1"/>
    <col min="8" max="8" width="23" customWidth="1"/>
  </cols>
  <sheetData>
    <row r="1" spans="1:3" x14ac:dyDescent="0.2">
      <c r="A1" s="9" t="s">
        <v>0</v>
      </c>
      <c r="B1" s="8">
        <v>13</v>
      </c>
    </row>
    <row r="2" spans="1:3" x14ac:dyDescent="0.2">
      <c r="A2" s="9" t="s">
        <v>1</v>
      </c>
      <c r="B2" s="9" t="s">
        <v>2</v>
      </c>
      <c r="C2" s="9" t="s">
        <v>3</v>
      </c>
    </row>
    <row r="3" spans="1:3" x14ac:dyDescent="0.2">
      <c r="A3" s="1">
        <v>46174</v>
      </c>
      <c r="B3" t="s">
        <v>4</v>
      </c>
      <c r="C3" s="4">
        <v>7.2916666666666671E-2</v>
      </c>
    </row>
    <row r="4" spans="1:3" x14ac:dyDescent="0.2">
      <c r="A4" s="1">
        <v>46266</v>
      </c>
      <c r="B4" t="s">
        <v>5</v>
      </c>
      <c r="C4" s="4">
        <v>5.2083333333333336E-2</v>
      </c>
    </row>
    <row r="5" spans="1:3" x14ac:dyDescent="0.2">
      <c r="A5" s="1">
        <v>46266</v>
      </c>
      <c r="B5" t="s">
        <v>6</v>
      </c>
      <c r="C5" s="4">
        <v>8.3333333333333329E-2</v>
      </c>
    </row>
    <row r="6" spans="1:3" x14ac:dyDescent="0.2">
      <c r="A6" s="1" t="s">
        <v>7</v>
      </c>
      <c r="B6" t="s">
        <v>8</v>
      </c>
      <c r="C6" s="4">
        <v>7.2916666666666671E-2</v>
      </c>
    </row>
    <row r="7" spans="1:3" x14ac:dyDescent="0.2">
      <c r="A7" s="1">
        <v>46357</v>
      </c>
      <c r="B7" t="s">
        <v>9</v>
      </c>
      <c r="C7" s="4">
        <v>8.3333333333333329E-2</v>
      </c>
    </row>
    <row r="8" spans="1:3" x14ac:dyDescent="0.2">
      <c r="A8" s="1" t="s">
        <v>10</v>
      </c>
      <c r="B8" t="s">
        <v>11</v>
      </c>
      <c r="C8" s="4">
        <v>1.7361111111111112E-2</v>
      </c>
    </row>
    <row r="9" spans="1:3" x14ac:dyDescent="0.2">
      <c r="A9" s="1" t="s">
        <v>10</v>
      </c>
      <c r="B9" t="s">
        <v>12</v>
      </c>
      <c r="C9" s="4">
        <v>4.1666666666666664E-2</v>
      </c>
    </row>
    <row r="10" spans="1:3" x14ac:dyDescent="0.2">
      <c r="A10" s="1" t="s">
        <v>13</v>
      </c>
      <c r="B10" t="s">
        <v>14</v>
      </c>
      <c r="C10" s="4">
        <v>4.1666666666666664E-2</v>
      </c>
    </row>
    <row r="11" spans="1:3" x14ac:dyDescent="0.2">
      <c r="A11" s="1" t="s">
        <v>15</v>
      </c>
      <c r="B11" t="s">
        <v>14</v>
      </c>
      <c r="C11" s="4">
        <v>0.10416666666666667</v>
      </c>
    </row>
    <row r="12" spans="1:3" x14ac:dyDescent="0.2">
      <c r="A12" s="1" t="s">
        <v>16</v>
      </c>
      <c r="B12" s="10" t="s">
        <v>12</v>
      </c>
      <c r="C12" s="4">
        <v>3.5416666666666666E-2</v>
      </c>
    </row>
    <row r="13" spans="1:3" x14ac:dyDescent="0.2">
      <c r="A13" t="s">
        <v>17</v>
      </c>
      <c r="B13" s="11" t="s">
        <v>18</v>
      </c>
      <c r="C13" s="4">
        <v>4.1666666666666664E-2</v>
      </c>
    </row>
    <row r="14" spans="1:3" x14ac:dyDescent="0.2">
      <c r="A14" t="s">
        <v>19</v>
      </c>
      <c r="B14" t="s">
        <v>18</v>
      </c>
      <c r="C14" s="4">
        <v>3.125E-2</v>
      </c>
    </row>
    <row r="15" spans="1:3" x14ac:dyDescent="0.2">
      <c r="A15" t="s">
        <v>20</v>
      </c>
      <c r="B15" t="s">
        <v>12</v>
      </c>
      <c r="C15" s="4">
        <v>2.7777777777777776E-2</v>
      </c>
    </row>
    <row r="16" spans="1:3" x14ac:dyDescent="0.2">
      <c r="A16" t="s">
        <v>21</v>
      </c>
      <c r="B16" t="s">
        <v>11</v>
      </c>
      <c r="C16" s="4">
        <v>2.4305555555555556E-2</v>
      </c>
    </row>
    <row r="17" spans="1:8" x14ac:dyDescent="0.2">
      <c r="A17" t="s">
        <v>21</v>
      </c>
      <c r="B17" t="s">
        <v>22</v>
      </c>
      <c r="C17" s="4">
        <v>0.14583333333333334</v>
      </c>
    </row>
    <row r="18" spans="1:8" x14ac:dyDescent="0.2">
      <c r="A18" s="1" t="s">
        <v>23</v>
      </c>
      <c r="B18" t="s">
        <v>24</v>
      </c>
      <c r="C18" s="4">
        <v>0.125</v>
      </c>
      <c r="G18" s="4"/>
    </row>
    <row r="19" spans="1:8" x14ac:dyDescent="0.2">
      <c r="A19" s="1" t="s">
        <v>25</v>
      </c>
      <c r="B19" t="s">
        <v>26</v>
      </c>
      <c r="C19" s="4">
        <v>3.125E-2</v>
      </c>
      <c r="G19" s="4"/>
    </row>
    <row r="20" spans="1:8" x14ac:dyDescent="0.2">
      <c r="A20" t="s">
        <v>23</v>
      </c>
      <c r="B20" t="s">
        <v>27</v>
      </c>
      <c r="C20" s="4">
        <v>0.21875</v>
      </c>
    </row>
    <row r="21" spans="1:8" x14ac:dyDescent="0.2">
      <c r="A21" t="s">
        <v>28</v>
      </c>
      <c r="B21" t="s">
        <v>29</v>
      </c>
      <c r="C21" s="7">
        <v>0.23958333333333334</v>
      </c>
    </row>
    <row r="22" spans="1:8" x14ac:dyDescent="0.2">
      <c r="A22" t="s">
        <v>30</v>
      </c>
      <c r="B22" t="s">
        <v>26</v>
      </c>
      <c r="C22" s="7">
        <v>2.7777777777777776E-2</v>
      </c>
    </row>
    <row r="23" spans="1:8" x14ac:dyDescent="0.2">
      <c r="A23" t="s">
        <v>28</v>
      </c>
      <c r="B23" t="s">
        <v>12</v>
      </c>
      <c r="C23" s="7">
        <v>2.0833333333333332E-2</v>
      </c>
    </row>
    <row r="24" spans="1:8" x14ac:dyDescent="0.2">
      <c r="A24" s="1">
        <v>46024</v>
      </c>
      <c r="B24" t="s">
        <v>31</v>
      </c>
      <c r="C24" s="7">
        <v>0.1388888888888889</v>
      </c>
    </row>
    <row r="25" spans="1:8" x14ac:dyDescent="0.2">
      <c r="A25" s="1">
        <v>46055</v>
      </c>
      <c r="B25" t="s">
        <v>11</v>
      </c>
      <c r="C25" s="7">
        <v>1.7361111111111112E-2</v>
      </c>
    </row>
    <row r="26" spans="1:8" x14ac:dyDescent="0.2">
      <c r="A26" s="1">
        <v>46083</v>
      </c>
      <c r="B26" t="s">
        <v>12</v>
      </c>
      <c r="C26" s="7">
        <v>2.0833333333333332E-2</v>
      </c>
      <c r="H26" s="13"/>
    </row>
    <row r="27" spans="1:8" x14ac:dyDescent="0.2">
      <c r="A27" s="1">
        <v>46083</v>
      </c>
      <c r="B27" t="s">
        <v>11</v>
      </c>
      <c r="C27" s="7">
        <v>1.7361111111111112E-2</v>
      </c>
      <c r="H27" s="12"/>
    </row>
    <row r="28" spans="1:8" x14ac:dyDescent="0.2">
      <c r="A28" s="1">
        <v>46083</v>
      </c>
      <c r="B28" t="s">
        <v>8</v>
      </c>
      <c r="C28" s="7">
        <v>3.888888888888889E-2</v>
      </c>
    </row>
    <row r="29" spans="1:8" ht="13.5" customHeight="1" x14ac:dyDescent="0.2">
      <c r="A29" s="1">
        <v>46114</v>
      </c>
      <c r="B29" t="s">
        <v>32</v>
      </c>
      <c r="C29" s="7">
        <v>0.11458333333333333</v>
      </c>
      <c r="E29" s="7"/>
    </row>
    <row r="30" spans="1:8" x14ac:dyDescent="0.2">
      <c r="A30" s="1">
        <v>46114</v>
      </c>
      <c r="B30" t="s">
        <v>33</v>
      </c>
      <c r="C30" s="7">
        <v>5.2083333333333336E-2</v>
      </c>
    </row>
    <row r="31" spans="1:8" x14ac:dyDescent="0.2">
      <c r="A31" s="1">
        <v>46175</v>
      </c>
      <c r="B31" t="s">
        <v>33</v>
      </c>
      <c r="C31" s="7">
        <v>0.1076388888888889</v>
      </c>
    </row>
    <row r="32" spans="1:8" x14ac:dyDescent="0.2">
      <c r="A32" s="1">
        <v>46236</v>
      </c>
      <c r="B32" t="s">
        <v>12</v>
      </c>
      <c r="C32" s="7">
        <v>3.4722222222222224E-2</v>
      </c>
    </row>
    <row r="33" spans="1:3" x14ac:dyDescent="0.2">
      <c r="A33" s="1">
        <v>46236</v>
      </c>
      <c r="B33" t="s">
        <v>34</v>
      </c>
      <c r="C33" s="7">
        <v>5.2083333333333336E-2</v>
      </c>
    </row>
    <row r="34" spans="1:3" x14ac:dyDescent="0.2">
      <c r="A34" s="1">
        <v>46267</v>
      </c>
      <c r="B34" t="s">
        <v>34</v>
      </c>
      <c r="C34" s="7">
        <v>5.5555555555555552E-2</v>
      </c>
    </row>
    <row r="35" spans="1:3" x14ac:dyDescent="0.2">
      <c r="A35" s="1">
        <v>46328</v>
      </c>
      <c r="B35" t="s">
        <v>35</v>
      </c>
      <c r="C35" s="7">
        <v>2.0833333333333332E-2</v>
      </c>
    </row>
    <row r="36" spans="1:3" x14ac:dyDescent="0.2">
      <c r="A36" s="1">
        <v>46358</v>
      </c>
      <c r="B36" t="s">
        <v>11</v>
      </c>
      <c r="C36" s="7">
        <v>1.0416666666666666E-2</v>
      </c>
    </row>
    <row r="37" spans="1:3" x14ac:dyDescent="0.2">
      <c r="A37" t="s">
        <v>36</v>
      </c>
      <c r="B37" t="s">
        <v>37</v>
      </c>
      <c r="C37" s="7">
        <v>4.1666666666666664E-2</v>
      </c>
    </row>
    <row r="38" spans="1:3" x14ac:dyDescent="0.2">
      <c r="A38" t="s">
        <v>38</v>
      </c>
      <c r="B38" t="s">
        <v>39</v>
      </c>
      <c r="C38" s="7">
        <v>6.25E-2</v>
      </c>
    </row>
    <row r="39" spans="1:3" x14ac:dyDescent="0.2">
      <c r="A39" t="s">
        <v>40</v>
      </c>
      <c r="B39" t="s">
        <v>41</v>
      </c>
      <c r="C39" s="7">
        <v>2.4305555555555556E-2</v>
      </c>
    </row>
    <row r="40" spans="1:3" x14ac:dyDescent="0.2">
      <c r="A40" t="s">
        <v>42</v>
      </c>
      <c r="B40" t="s">
        <v>43</v>
      </c>
      <c r="C40" s="7">
        <v>0.15277777777777779</v>
      </c>
    </row>
    <row r="41" spans="1:3" x14ac:dyDescent="0.2">
      <c r="A41" t="s">
        <v>44</v>
      </c>
      <c r="B41" t="s">
        <v>45</v>
      </c>
      <c r="C41" s="7">
        <v>0.1388888888888889</v>
      </c>
    </row>
    <row r="44" spans="1:3" x14ac:dyDescent="0.2">
      <c r="C44" s="14" t="s">
        <v>46</v>
      </c>
    </row>
    <row r="45" spans="1:3" x14ac:dyDescent="0.2">
      <c r="C45" s="13">
        <f>SUM(C3:C41)</f>
        <v>2.6402777777777771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EECD9-4AD3-41AF-8923-B28678799497}">
  <dimension ref="A1:D51"/>
  <sheetViews>
    <sheetView workbookViewId="0">
      <selection activeCell="D4" sqref="D4"/>
    </sheetView>
  </sheetViews>
  <sheetFormatPr baseColWidth="10" defaultColWidth="8.83203125" defaultRowHeight="15" x14ac:dyDescent="0.2"/>
  <cols>
    <col min="1" max="1" width="30.1640625" customWidth="1"/>
    <col min="2" max="2" width="155" customWidth="1"/>
    <col min="3" max="3" width="16.6640625" style="4" customWidth="1"/>
    <col min="4" max="4" width="15.83203125" customWidth="1"/>
  </cols>
  <sheetData>
    <row r="1" spans="1:4" ht="36.75" customHeight="1" x14ac:dyDescent="0.2">
      <c r="A1" s="3" t="s">
        <v>47</v>
      </c>
      <c r="B1" t="s">
        <v>48</v>
      </c>
    </row>
    <row r="2" spans="1:4" x14ac:dyDescent="0.2">
      <c r="A2" s="3" t="s">
        <v>1</v>
      </c>
      <c r="B2" t="s">
        <v>2</v>
      </c>
      <c r="C2" s="4" t="s">
        <v>49</v>
      </c>
      <c r="D2" s="7"/>
    </row>
    <row r="3" spans="1:4" ht="15.75" customHeight="1" x14ac:dyDescent="0.2">
      <c r="A3" s="2">
        <v>46031</v>
      </c>
      <c r="B3" t="s">
        <v>50</v>
      </c>
      <c r="C3">
        <v>3</v>
      </c>
      <c r="D3" s="15" t="s">
        <v>51</v>
      </c>
    </row>
    <row r="4" spans="1:4" x14ac:dyDescent="0.2">
      <c r="A4" s="2">
        <v>46032</v>
      </c>
      <c r="B4" t="s">
        <v>52</v>
      </c>
      <c r="C4">
        <v>2.5</v>
      </c>
      <c r="D4" s="16">
        <f>SUM(C3:C41)</f>
        <v>67</v>
      </c>
    </row>
    <row r="5" spans="1:4" x14ac:dyDescent="0.2">
      <c r="A5" s="2">
        <v>46033</v>
      </c>
      <c r="B5" t="s">
        <v>53</v>
      </c>
      <c r="C5">
        <v>2.5</v>
      </c>
      <c r="D5" s="7"/>
    </row>
    <row r="6" spans="1:4" x14ac:dyDescent="0.2">
      <c r="A6" s="2">
        <v>46034</v>
      </c>
      <c r="C6"/>
      <c r="D6" s="7"/>
    </row>
    <row r="7" spans="1:4" x14ac:dyDescent="0.2">
      <c r="A7" s="2">
        <v>46035</v>
      </c>
      <c r="B7" t="s">
        <v>54</v>
      </c>
      <c r="C7">
        <v>1.5</v>
      </c>
      <c r="D7" s="7"/>
    </row>
    <row r="8" spans="1:4" x14ac:dyDescent="0.2">
      <c r="A8" s="2">
        <v>46036</v>
      </c>
      <c r="B8" t="s">
        <v>55</v>
      </c>
      <c r="C8">
        <v>3.5</v>
      </c>
      <c r="D8" s="7"/>
    </row>
    <row r="9" spans="1:4" x14ac:dyDescent="0.2">
      <c r="A9" s="2">
        <v>46037</v>
      </c>
      <c r="B9" t="s">
        <v>56</v>
      </c>
      <c r="C9">
        <v>2</v>
      </c>
      <c r="D9" s="7"/>
    </row>
    <row r="10" spans="1:4" x14ac:dyDescent="0.2">
      <c r="A10" s="2">
        <v>46038</v>
      </c>
      <c r="C10"/>
      <c r="D10" s="7"/>
    </row>
    <row r="11" spans="1:4" x14ac:dyDescent="0.2">
      <c r="A11" s="2">
        <v>46039</v>
      </c>
      <c r="C11"/>
      <c r="D11" s="7"/>
    </row>
    <row r="12" spans="1:4" x14ac:dyDescent="0.2">
      <c r="A12" s="2">
        <v>46040</v>
      </c>
      <c r="B12" t="s">
        <v>57</v>
      </c>
      <c r="C12">
        <v>4</v>
      </c>
      <c r="D12" s="7"/>
    </row>
    <row r="13" spans="1:4" x14ac:dyDescent="0.2">
      <c r="A13" s="2">
        <v>46041</v>
      </c>
      <c r="C13"/>
      <c r="D13" s="7"/>
    </row>
    <row r="14" spans="1:4" x14ac:dyDescent="0.2">
      <c r="A14" s="2">
        <v>46042</v>
      </c>
      <c r="B14" t="s">
        <v>58</v>
      </c>
      <c r="C14">
        <v>5</v>
      </c>
      <c r="D14" s="7"/>
    </row>
    <row r="15" spans="1:4" x14ac:dyDescent="0.2">
      <c r="A15" s="2">
        <v>46043</v>
      </c>
      <c r="C15"/>
      <c r="D15" s="7"/>
    </row>
    <row r="16" spans="1:4" ht="57.75" customHeight="1" x14ac:dyDescent="0.2">
      <c r="A16" s="2">
        <v>46044</v>
      </c>
      <c r="B16" s="5" t="s">
        <v>59</v>
      </c>
      <c r="C16">
        <v>8</v>
      </c>
      <c r="D16" s="7"/>
    </row>
    <row r="17" spans="1:4" x14ac:dyDescent="0.2">
      <c r="A17" s="2">
        <v>46045</v>
      </c>
      <c r="C17"/>
      <c r="D17" s="7"/>
    </row>
    <row r="18" spans="1:4" ht="114" customHeight="1" x14ac:dyDescent="0.2">
      <c r="A18" s="2">
        <v>46046</v>
      </c>
      <c r="B18" s="5" t="s">
        <v>60</v>
      </c>
      <c r="C18">
        <v>8</v>
      </c>
      <c r="D18" s="7"/>
    </row>
    <row r="19" spans="1:4" ht="128.25" customHeight="1" x14ac:dyDescent="0.2">
      <c r="A19" s="2">
        <v>46047</v>
      </c>
      <c r="B19" s="5" t="s">
        <v>61</v>
      </c>
      <c r="C19">
        <v>5</v>
      </c>
    </row>
    <row r="20" spans="1:4" x14ac:dyDescent="0.2">
      <c r="A20" s="2">
        <v>46048</v>
      </c>
    </row>
    <row r="21" spans="1:4" x14ac:dyDescent="0.2">
      <c r="A21" s="2">
        <v>46049</v>
      </c>
    </row>
    <row r="22" spans="1:4" x14ac:dyDescent="0.2">
      <c r="A22" s="2">
        <v>46050</v>
      </c>
    </row>
    <row r="23" spans="1:4" ht="48" x14ac:dyDescent="0.2">
      <c r="A23" s="2">
        <v>46051</v>
      </c>
      <c r="B23" s="5" t="s">
        <v>62</v>
      </c>
      <c r="C23">
        <v>3</v>
      </c>
    </row>
    <row r="24" spans="1:4" x14ac:dyDescent="0.2">
      <c r="A24" s="2">
        <v>46052</v>
      </c>
    </row>
    <row r="25" spans="1:4" x14ac:dyDescent="0.2">
      <c r="A25" s="2">
        <v>46053</v>
      </c>
    </row>
    <row r="26" spans="1:4" x14ac:dyDescent="0.2">
      <c r="A26" s="2">
        <v>46054</v>
      </c>
      <c r="B26" t="s">
        <v>63</v>
      </c>
      <c r="C26">
        <v>1.5</v>
      </c>
    </row>
    <row r="27" spans="1:4" x14ac:dyDescent="0.2">
      <c r="A27" s="2">
        <v>46055</v>
      </c>
    </row>
    <row r="28" spans="1:4" x14ac:dyDescent="0.2">
      <c r="A28" s="2">
        <v>46056</v>
      </c>
      <c r="B28" t="s">
        <v>64</v>
      </c>
      <c r="C28">
        <v>2</v>
      </c>
    </row>
    <row r="29" spans="1:4" x14ac:dyDescent="0.2">
      <c r="A29" s="2">
        <v>46057</v>
      </c>
    </row>
    <row r="30" spans="1:4" x14ac:dyDescent="0.2">
      <c r="A30" s="2">
        <v>46058</v>
      </c>
      <c r="B30" t="s">
        <v>65</v>
      </c>
      <c r="C30">
        <v>2</v>
      </c>
    </row>
    <row r="31" spans="1:4" x14ac:dyDescent="0.2">
      <c r="A31" s="2">
        <v>46059</v>
      </c>
    </row>
    <row r="32" spans="1:4" x14ac:dyDescent="0.2">
      <c r="A32" s="2">
        <v>46060</v>
      </c>
      <c r="B32" t="s">
        <v>66</v>
      </c>
      <c r="C32">
        <v>1.5</v>
      </c>
    </row>
    <row r="33" spans="1:3" x14ac:dyDescent="0.2">
      <c r="A33" s="2">
        <v>46061</v>
      </c>
      <c r="B33" t="s">
        <v>53</v>
      </c>
      <c r="C33">
        <v>2</v>
      </c>
    </row>
    <row r="34" spans="1:3" x14ac:dyDescent="0.2">
      <c r="A34" s="2">
        <v>46062</v>
      </c>
      <c r="B34" t="s">
        <v>67</v>
      </c>
      <c r="C34">
        <v>2</v>
      </c>
    </row>
    <row r="35" spans="1:3" x14ac:dyDescent="0.2">
      <c r="A35" s="2">
        <v>46063</v>
      </c>
      <c r="B35" t="s">
        <v>68</v>
      </c>
    </row>
    <row r="36" spans="1:3" x14ac:dyDescent="0.2">
      <c r="A36" s="2">
        <v>46064</v>
      </c>
    </row>
    <row r="37" spans="1:3" x14ac:dyDescent="0.2">
      <c r="A37" s="2">
        <v>46065</v>
      </c>
      <c r="B37" t="s">
        <v>69</v>
      </c>
      <c r="C37">
        <v>1.5</v>
      </c>
    </row>
    <row r="38" spans="1:3" x14ac:dyDescent="0.2">
      <c r="A38" s="2">
        <v>46066</v>
      </c>
      <c r="B38" t="s">
        <v>70</v>
      </c>
      <c r="C38">
        <v>1.5</v>
      </c>
    </row>
    <row r="39" spans="1:3" x14ac:dyDescent="0.2">
      <c r="A39" s="2">
        <v>46067</v>
      </c>
      <c r="B39" t="s">
        <v>71</v>
      </c>
      <c r="C39">
        <v>2</v>
      </c>
    </row>
    <row r="40" spans="1:3" x14ac:dyDescent="0.2">
      <c r="A40" s="2">
        <v>46068</v>
      </c>
    </row>
    <row r="41" spans="1:3" x14ac:dyDescent="0.2">
      <c r="A41" s="2">
        <v>46069</v>
      </c>
      <c r="B41" t="s">
        <v>72</v>
      </c>
      <c r="C41">
        <v>3</v>
      </c>
    </row>
    <row r="42" spans="1:3" x14ac:dyDescent="0.2">
      <c r="A42" s="2">
        <v>46070</v>
      </c>
    </row>
    <row r="43" spans="1:3" x14ac:dyDescent="0.2">
      <c r="A43" s="2">
        <v>46071</v>
      </c>
    </row>
    <row r="44" spans="1:3" x14ac:dyDescent="0.2">
      <c r="A44" s="2">
        <v>46072</v>
      </c>
    </row>
    <row r="45" spans="1:3" x14ac:dyDescent="0.2">
      <c r="A45" s="2">
        <v>46073</v>
      </c>
    </row>
    <row r="46" spans="1:3" x14ac:dyDescent="0.2">
      <c r="A46" s="2">
        <v>46074</v>
      </c>
    </row>
    <row r="47" spans="1:3" x14ac:dyDescent="0.2">
      <c r="A47" s="2">
        <v>46075</v>
      </c>
    </row>
    <row r="48" spans="1:3" x14ac:dyDescent="0.2">
      <c r="A48" s="2">
        <v>46076</v>
      </c>
    </row>
    <row r="49" spans="1:1" x14ac:dyDescent="0.2">
      <c r="A49" s="2">
        <v>46077</v>
      </c>
    </row>
    <row r="50" spans="1:1" x14ac:dyDescent="0.2">
      <c r="A50" s="2">
        <v>46078</v>
      </c>
    </row>
    <row r="51" spans="1:1" x14ac:dyDescent="0.2">
      <c r="A51" s="2">
        <v>46079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C3D70-9A8B-4A59-8343-1D3356DFB267}">
  <dimension ref="A1:E49"/>
  <sheetViews>
    <sheetView tabSelected="1" workbookViewId="0">
      <selection activeCell="E3" sqref="E3"/>
    </sheetView>
  </sheetViews>
  <sheetFormatPr baseColWidth="10" defaultColWidth="8.83203125" defaultRowHeight="15" x14ac:dyDescent="0.2"/>
  <cols>
    <col min="1" max="1" width="10.33203125" customWidth="1"/>
    <col min="2" max="2" width="32.83203125" customWidth="1"/>
    <col min="3" max="3" width="13.83203125" customWidth="1"/>
    <col min="4" max="4" width="3.6640625" customWidth="1"/>
    <col min="5" max="5" width="15.1640625" customWidth="1"/>
  </cols>
  <sheetData>
    <row r="1" spans="1:5" x14ac:dyDescent="0.2">
      <c r="A1" t="s">
        <v>0</v>
      </c>
      <c r="B1">
        <v>13</v>
      </c>
    </row>
    <row r="2" spans="1:5" x14ac:dyDescent="0.2">
      <c r="A2" t="s">
        <v>1</v>
      </c>
      <c r="B2" t="s">
        <v>2</v>
      </c>
      <c r="C2" t="s">
        <v>73</v>
      </c>
      <c r="E2" t="s">
        <v>74</v>
      </c>
    </row>
    <row r="3" spans="1:5" x14ac:dyDescent="0.2">
      <c r="A3" s="1">
        <v>46030</v>
      </c>
      <c r="B3" t="s">
        <v>75</v>
      </c>
      <c r="C3">
        <v>0.5</v>
      </c>
      <c r="E3">
        <f>SUM(C3:C100)</f>
        <v>100.68</v>
      </c>
    </row>
    <row r="4" spans="1:5" x14ac:dyDescent="0.2">
      <c r="A4" s="1">
        <v>46031</v>
      </c>
      <c r="B4" t="s">
        <v>76</v>
      </c>
      <c r="C4">
        <v>2</v>
      </c>
    </row>
    <row r="5" spans="1:5" x14ac:dyDescent="0.2">
      <c r="A5" s="1">
        <v>46032</v>
      </c>
      <c r="B5" t="s">
        <v>77</v>
      </c>
      <c r="C5">
        <v>0.25</v>
      </c>
    </row>
    <row r="6" spans="1:5" ht="16" x14ac:dyDescent="0.2">
      <c r="A6" s="1">
        <v>46033</v>
      </c>
      <c r="B6" s="5" t="s">
        <v>78</v>
      </c>
      <c r="C6">
        <v>1.73</v>
      </c>
    </row>
    <row r="7" spans="1:5" ht="32" x14ac:dyDescent="0.2">
      <c r="A7" s="1">
        <v>46034</v>
      </c>
      <c r="B7" s="5" t="s">
        <v>79</v>
      </c>
      <c r="C7" s="5">
        <v>8</v>
      </c>
    </row>
    <row r="8" spans="1:5" x14ac:dyDescent="0.2">
      <c r="A8" s="1">
        <v>46035</v>
      </c>
      <c r="B8" t="s">
        <v>11</v>
      </c>
      <c r="C8">
        <v>0.25</v>
      </c>
    </row>
    <row r="9" spans="1:5" ht="16" x14ac:dyDescent="0.2">
      <c r="A9" s="1">
        <v>46035</v>
      </c>
      <c r="B9" s="5" t="s">
        <v>80</v>
      </c>
      <c r="C9">
        <v>1</v>
      </c>
    </row>
    <row r="10" spans="1:5" ht="16" x14ac:dyDescent="0.2">
      <c r="A10" s="1">
        <v>46036</v>
      </c>
      <c r="B10" s="5" t="s">
        <v>81</v>
      </c>
      <c r="C10">
        <v>1.5</v>
      </c>
    </row>
    <row r="11" spans="1:5" ht="32" x14ac:dyDescent="0.2">
      <c r="A11" s="1">
        <v>46037</v>
      </c>
      <c r="B11" s="5" t="s">
        <v>82</v>
      </c>
      <c r="C11">
        <v>6</v>
      </c>
    </row>
    <row r="12" spans="1:5" x14ac:dyDescent="0.2">
      <c r="A12" s="1">
        <v>46037</v>
      </c>
      <c r="B12" s="6" t="s">
        <v>80</v>
      </c>
      <c r="C12">
        <v>0.5</v>
      </c>
    </row>
    <row r="13" spans="1:5" ht="48" x14ac:dyDescent="0.2">
      <c r="A13" s="1">
        <v>46040</v>
      </c>
      <c r="B13" s="5" t="s">
        <v>83</v>
      </c>
      <c r="C13">
        <v>4.5</v>
      </c>
    </row>
    <row r="14" spans="1:5" ht="48" x14ac:dyDescent="0.2">
      <c r="A14" s="1">
        <v>46041</v>
      </c>
      <c r="B14" s="5" t="s">
        <v>84</v>
      </c>
      <c r="C14">
        <v>5.5</v>
      </c>
    </row>
    <row r="15" spans="1:5" x14ac:dyDescent="0.2">
      <c r="A15" s="1">
        <v>46042</v>
      </c>
      <c r="B15" s="6" t="s">
        <v>80</v>
      </c>
      <c r="C15">
        <v>0.83</v>
      </c>
    </row>
    <row r="16" spans="1:5" x14ac:dyDescent="0.2">
      <c r="A16" s="1">
        <v>46045</v>
      </c>
      <c r="B16" t="s">
        <v>85</v>
      </c>
      <c r="C16">
        <v>4</v>
      </c>
    </row>
    <row r="17" spans="1:3" ht="16" x14ac:dyDescent="0.2">
      <c r="A17" s="1">
        <v>46047</v>
      </c>
      <c r="B17" s="5" t="s">
        <v>86</v>
      </c>
      <c r="C17">
        <v>0.5</v>
      </c>
    </row>
    <row r="18" spans="1:3" x14ac:dyDescent="0.2">
      <c r="A18" s="1">
        <v>46047</v>
      </c>
      <c r="B18" t="s">
        <v>80</v>
      </c>
      <c r="C18">
        <v>0.6</v>
      </c>
    </row>
    <row r="19" spans="1:3" x14ac:dyDescent="0.2">
      <c r="A19" s="1">
        <v>46051</v>
      </c>
      <c r="B19" t="s">
        <v>80</v>
      </c>
      <c r="C19">
        <v>0.5</v>
      </c>
    </row>
    <row r="20" spans="1:3" ht="16" x14ac:dyDescent="0.2">
      <c r="A20" s="1">
        <v>46052</v>
      </c>
      <c r="B20" s="5" t="s">
        <v>87</v>
      </c>
      <c r="C20">
        <v>3.5</v>
      </c>
    </row>
    <row r="21" spans="1:3" ht="32" x14ac:dyDescent="0.2">
      <c r="A21" s="1">
        <v>46052</v>
      </c>
      <c r="B21" s="5" t="s">
        <v>88</v>
      </c>
      <c r="C21">
        <v>1</v>
      </c>
    </row>
    <row r="22" spans="1:3" ht="96" x14ac:dyDescent="0.2">
      <c r="A22" s="1">
        <v>46055</v>
      </c>
      <c r="B22" s="5" t="s">
        <v>89</v>
      </c>
      <c r="C22" s="5">
        <v>2</v>
      </c>
    </row>
    <row r="23" spans="1:3" ht="48" x14ac:dyDescent="0.2">
      <c r="A23" s="1">
        <v>46055</v>
      </c>
      <c r="B23" s="5" t="s">
        <v>90</v>
      </c>
      <c r="C23">
        <v>1.5</v>
      </c>
    </row>
    <row r="24" spans="1:3" x14ac:dyDescent="0.2">
      <c r="A24" s="1">
        <v>46055</v>
      </c>
      <c r="B24" t="s">
        <v>11</v>
      </c>
      <c r="C24">
        <v>0.25</v>
      </c>
    </row>
    <row r="25" spans="1:3" x14ac:dyDescent="0.2">
      <c r="A25" s="1">
        <v>46056</v>
      </c>
      <c r="B25" t="s">
        <v>91</v>
      </c>
      <c r="C25" s="5">
        <v>4</v>
      </c>
    </row>
    <row r="26" spans="1:3" x14ac:dyDescent="0.2">
      <c r="A26" s="1">
        <v>46056</v>
      </c>
      <c r="B26" t="s">
        <v>92</v>
      </c>
      <c r="C26">
        <v>2</v>
      </c>
    </row>
    <row r="27" spans="1:3" ht="16" x14ac:dyDescent="0.2">
      <c r="A27" s="1">
        <v>46056</v>
      </c>
      <c r="B27" s="5" t="s">
        <v>78</v>
      </c>
      <c r="C27">
        <v>0.5</v>
      </c>
    </row>
    <row r="28" spans="1:3" ht="16" x14ac:dyDescent="0.2">
      <c r="A28" s="1">
        <v>46056</v>
      </c>
      <c r="B28" s="5" t="s">
        <v>11</v>
      </c>
      <c r="C28">
        <v>0.25</v>
      </c>
    </row>
    <row r="29" spans="1:3" x14ac:dyDescent="0.2">
      <c r="A29" s="1">
        <v>46056</v>
      </c>
      <c r="B29" t="s">
        <v>78</v>
      </c>
      <c r="C29" s="5">
        <v>0.92</v>
      </c>
    </row>
    <row r="30" spans="1:3" ht="32" x14ac:dyDescent="0.2">
      <c r="A30" s="1">
        <v>46057</v>
      </c>
      <c r="B30" s="5" t="s">
        <v>93</v>
      </c>
      <c r="C30" s="5">
        <v>1.5</v>
      </c>
    </row>
    <row r="31" spans="1:3" ht="48" x14ac:dyDescent="0.2">
      <c r="A31" s="1">
        <v>46057</v>
      </c>
      <c r="B31" s="5" t="s">
        <v>94</v>
      </c>
      <c r="C31">
        <v>4.5</v>
      </c>
    </row>
    <row r="32" spans="1:3" ht="16" x14ac:dyDescent="0.2">
      <c r="A32" s="1">
        <v>46060</v>
      </c>
      <c r="B32" s="5" t="s">
        <v>95</v>
      </c>
      <c r="C32">
        <v>1</v>
      </c>
    </row>
    <row r="33" spans="1:3" ht="32" x14ac:dyDescent="0.2">
      <c r="A33" s="1">
        <v>46061</v>
      </c>
      <c r="B33" s="5" t="s">
        <v>96</v>
      </c>
      <c r="C33" s="5">
        <v>4</v>
      </c>
    </row>
    <row r="34" spans="1:3" ht="16" x14ac:dyDescent="0.2">
      <c r="A34" s="1">
        <v>46061</v>
      </c>
      <c r="B34" s="5" t="s">
        <v>78</v>
      </c>
      <c r="C34">
        <v>0.83</v>
      </c>
    </row>
    <row r="35" spans="1:3" ht="16" x14ac:dyDescent="0.2">
      <c r="A35" s="1">
        <v>46062</v>
      </c>
      <c r="B35" s="5" t="s">
        <v>87</v>
      </c>
      <c r="C35">
        <v>1</v>
      </c>
    </row>
    <row r="36" spans="1:3" ht="32" x14ac:dyDescent="0.2">
      <c r="A36" s="1">
        <v>46062</v>
      </c>
      <c r="B36" s="5" t="s">
        <v>97</v>
      </c>
      <c r="C36">
        <v>2</v>
      </c>
    </row>
    <row r="37" spans="1:3" ht="16" x14ac:dyDescent="0.2">
      <c r="A37" s="1">
        <v>46063</v>
      </c>
      <c r="B37" s="5" t="s">
        <v>98</v>
      </c>
      <c r="C37">
        <v>1</v>
      </c>
    </row>
    <row r="38" spans="1:3" ht="16" x14ac:dyDescent="0.2">
      <c r="A38" s="1">
        <v>46064</v>
      </c>
      <c r="B38" s="5" t="s">
        <v>99</v>
      </c>
      <c r="C38">
        <v>1.5</v>
      </c>
    </row>
    <row r="39" spans="1:3" ht="16" x14ac:dyDescent="0.2">
      <c r="A39" s="1">
        <v>46064</v>
      </c>
      <c r="B39" s="5" t="s">
        <v>100</v>
      </c>
      <c r="C39">
        <v>3</v>
      </c>
    </row>
    <row r="40" spans="1:3" ht="48" x14ac:dyDescent="0.2">
      <c r="A40" s="1">
        <v>46065</v>
      </c>
      <c r="B40" s="5" t="s">
        <v>101</v>
      </c>
      <c r="C40">
        <v>4.8</v>
      </c>
    </row>
    <row r="41" spans="1:3" x14ac:dyDescent="0.2">
      <c r="A41" s="1">
        <v>46065</v>
      </c>
      <c r="B41" t="s">
        <v>11</v>
      </c>
      <c r="C41">
        <v>0.25</v>
      </c>
    </row>
    <row r="42" spans="1:3" ht="48" x14ac:dyDescent="0.2">
      <c r="A42" s="1">
        <v>46066</v>
      </c>
      <c r="B42" s="5" t="s">
        <v>102</v>
      </c>
      <c r="C42">
        <v>4.7</v>
      </c>
    </row>
    <row r="43" spans="1:3" ht="32" x14ac:dyDescent="0.2">
      <c r="A43" s="1">
        <v>46067</v>
      </c>
      <c r="B43" s="5" t="s">
        <v>103</v>
      </c>
      <c r="C43">
        <v>1.75</v>
      </c>
    </row>
    <row r="44" spans="1:3" ht="16" x14ac:dyDescent="0.2">
      <c r="A44" s="1">
        <v>46068</v>
      </c>
      <c r="B44" s="5" t="s">
        <v>104</v>
      </c>
      <c r="C44">
        <v>2</v>
      </c>
    </row>
    <row r="45" spans="1:3" ht="32" x14ac:dyDescent="0.2">
      <c r="A45" s="1">
        <v>46069</v>
      </c>
      <c r="B45" s="5" t="s">
        <v>105</v>
      </c>
      <c r="C45">
        <v>1.82</v>
      </c>
    </row>
    <row r="46" spans="1:3" ht="32" x14ac:dyDescent="0.2">
      <c r="A46" s="1">
        <v>46069</v>
      </c>
      <c r="B46" s="5" t="s">
        <v>106</v>
      </c>
      <c r="C46" s="5">
        <v>1</v>
      </c>
    </row>
    <row r="47" spans="1:3" ht="32" x14ac:dyDescent="0.2">
      <c r="A47" s="1">
        <v>46069</v>
      </c>
      <c r="B47" s="5" t="s">
        <v>107</v>
      </c>
      <c r="C47" s="5">
        <v>4.45</v>
      </c>
    </row>
    <row r="48" spans="1:3" ht="32" x14ac:dyDescent="0.2">
      <c r="A48" s="1">
        <v>46070</v>
      </c>
      <c r="B48" s="5" t="s">
        <v>108</v>
      </c>
      <c r="C48" s="5">
        <v>4.5</v>
      </c>
    </row>
    <row r="49" spans="1:3" ht="32" x14ac:dyDescent="0.2">
      <c r="A49" s="1">
        <v>46070</v>
      </c>
      <c r="B49" s="5" t="s">
        <v>109</v>
      </c>
      <c r="C49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922EF49FC2C148B44CD71FA5627B5F" ma:contentTypeVersion="11" ma:contentTypeDescription="Create a new document." ma:contentTypeScope="" ma:versionID="d9029e7c8032f8f33d073a70c52a22bb">
  <xsd:schema xmlns:xsd="http://www.w3.org/2001/XMLSchema" xmlns:xs="http://www.w3.org/2001/XMLSchema" xmlns:p="http://schemas.microsoft.com/office/2006/metadata/properties" xmlns:ns2="456ab197-f0e8-4b2b-999a-c41e8b6b146e" xmlns:ns3="fda2d0f6-7d65-48db-9a0f-1deec8015d3e" targetNamespace="http://schemas.microsoft.com/office/2006/metadata/properties" ma:root="true" ma:fieldsID="dffc7af2c18316184f35f1549a400444" ns2:_="" ns3:_="">
    <xsd:import namespace="456ab197-f0e8-4b2b-999a-c41e8b6b146e"/>
    <xsd:import namespace="fda2d0f6-7d65-48db-9a0f-1deec8015d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6ab197-f0e8-4b2b-999a-c41e8b6b14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c5529c5-a027-4c82-ab4e-2b087dfb9f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a2d0f6-7d65-48db-9a0f-1deec8015d3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487e698-42fa-4ed9-9960-114d9fde0c21}" ma:internalName="TaxCatchAll" ma:showField="CatchAllData" ma:web="fda2d0f6-7d65-48db-9a0f-1deec8015d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a2d0f6-7d65-48db-9a0f-1deec8015d3e" xsi:nil="true"/>
    <lcf76f155ced4ddcb4097134ff3c332f xmlns="456ab197-f0e8-4b2b-999a-c41e8b6b146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D59D24F-4BA6-4B71-A86F-2A4E010265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6ab197-f0e8-4b2b-999a-c41e8b6b146e"/>
    <ds:schemaRef ds:uri="fda2d0f6-7d65-48db-9a0f-1deec8015d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CFC80ED-D081-43C9-B71F-5A9D44B1D34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1C3312F-96DA-48F3-804E-293DB37E0CF8}">
  <ds:schemaRefs>
    <ds:schemaRef ds:uri="http://schemas.microsoft.com/office/2006/metadata/properties"/>
    <ds:schemaRef ds:uri="http://schemas.microsoft.com/office/infopath/2007/PartnerControls"/>
    <ds:schemaRef ds:uri="fda2d0f6-7d65-48db-9a0f-1deec8015d3e"/>
    <ds:schemaRef ds:uri="456ab197-f0e8-4b2b-999a-c41e8b6b146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Sara Vehviläinen</vt:lpstr>
      <vt:lpstr>Mikhail Konstantinov</vt:lpstr>
      <vt:lpstr>Andreas Kotala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Eino Niemi</dc:creator>
  <cp:keywords/>
  <dc:description/>
  <cp:lastModifiedBy>Andreas Kotala</cp:lastModifiedBy>
  <cp:revision/>
  <dcterms:created xsi:type="dcterms:W3CDTF">2023-10-18T07:31:54Z</dcterms:created>
  <dcterms:modified xsi:type="dcterms:W3CDTF">2026-02-17T19:22:58Z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0x01010042922EF49FC2C148B44CD71FA5627B5F</vt:lpwstr>
  </property>
  <property fmtid="{D5CDD505-2E9C-101B-9397-08002B2CF9AE}" pid="3" name="MediaServiceImageTags">
    <vt:lpwstr/>
  </property>
</Properties>
</file>